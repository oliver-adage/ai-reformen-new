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<sst xmlns="http://schemas.openxmlformats.org/spreadsheetml/2006/main" count="68" uniqueCount="67">
  <si>
    <t>Content type</t>
  </si>
  <si>
    <t>Content type ID</t>
  </si>
  <si>
    <t>Fields ID</t>
  </si>
  <si>
    <t>Användning (var &amp; när)</t>
  </si>
  <si>
    <t>Nyckelfält (kortfattat)</t>
  </si>
  <si>
    <t>Varför den behövs / hur den skalar</t>
  </si>
  <si>
    <t>Page
ID: page</t>
  </si>
  <si>
    <t>internalName
slug
pageTitle
hero
sections
showInNavigation
seoTitle
seoDescription
pageType</t>
  </si>
  <si>
    <t>Alla “riktiga” sidor: Hem, Om oss, Nyheter-översikt, Finansiering, Partners, FAQ, framtida ben/landningssidor.</t>
  </si>
  <si>
    <t>Internal name, Slug, Page title, Hero (ref), Sections (lista av Content Sections), Show in navigation (bool), SEO fields.</t>
  </si>
  <si>
    <t>Gör varje URL till en entry. Genom att ha en generisk Page kan ni lägga till nya ben/sidor utan ny kod – bara skapa en ny Page + sektioner.</t>
  </si>
  <si>
    <t>Hero Section
ID: heroSection</t>
  </si>
  <si>
    <t>pageTitle
eyebrow
heading
ingress
primaryCtaLable
primaryCtaUrl
image
theme</t>
  </si>
  <si>
    <t>Översta blocket på en sida (som på startsidan: stor rubrik, ingress, CTA, ev. bild).</t>
  </si>
  <si>
    <t>Heading, Ingress, Primary CTA label + link, Secondary CTA (valfritt), Background image/illustration, Tagline (valfritt).</t>
  </si>
  <si>
    <t>Samma komponent kan återanvändas för alla sidor. Ger redaktörer ett tydligt fält för det viktigaste budskapet, och utvecklarna kan bygga en hero-komponent som alltid vet vad den får.</t>
  </si>
  <si>
    <t xml:space="preserve">Content Section ID: contentSection
</t>
  </si>
  <si>
    <t>internalLabel
heading
body
layoutType
image
ctaLabel
ctaUrl</t>
  </si>
  <si>
    <t>Brödtextblock på t.ex. Om oss, Finansiering, Partners.</t>
  </si>
  <si>
    <t>Internal label, Heading, Body (rich text), Layout type (t.ex. “Text only”, “Text + image”), Image (valfritt), CTA label + link (valfritt).</t>
  </si>
  <si>
    <t>Ett generiskt block som kan användas på många sidor istället för att hårdkoda text i Page. När ni lägger till fler ben/initiativ kan ni bygga sidorna helt av sådana sektioner.</t>
  </si>
  <si>
    <t>FAQ text
ID: faqText</t>
  </si>
  <si>
    <t>theQuestion
answer</t>
  </si>
  <si>
    <t>Själva Q/A-paret i FAQ: en fråga per rad med ett svar.</t>
  </si>
  <si>
    <t>Question (short text, inte list), Answer (rich text), ev. Category/målgrupp.</t>
  </si>
  <si>
    <t>Ni har redan börjat sätta upp detta. Gör varje fråga/svar återanvändbart och möjliggör filtrering eller uppdelning per målgrupp senare.</t>
  </si>
  <si>
    <t>FAQ Section
ID: faqSection</t>
  </si>
  <si>
    <t>title, items</t>
  </si>
  <si>
    <t>Ett FAQ-block på en sida, t.ex. /faq eller mindre FAQ på en specifik landningssida.</t>
  </si>
  <si>
    <t>Title, Items (lista av referenser till FAQ Item), ev. Description.</t>
  </si>
  <si>
    <t>Låter er skapa olika FAQ-sektioner (t.ex. “För kommuner”, “För skolor”) och placera dem på valfria Pages. Bra när ni får fler ben med egna frågor.</t>
  </si>
  <si>
    <t>News Article / Pressmeddelande
ID: newsPressRelease</t>
  </si>
  <si>
    <t>internalName
title
slug
publishDate
type
summaryintro
body
featured
externalUrl</t>
  </si>
  <si>
    <t>Enskilda nyheter/pressreleaser under /nyheter.</t>
  </si>
  <si>
    <t>Title, Slug, Publish date, Type (Press release/News), Intro/summary, Body (rich text), Featured (om den ska lyftas på startsida), ev. External link till PDF/annat.</t>
  </si>
  <si>
    <t>Ni har redan en lanseringsnyhet; den typen kommer växa. Ett gemensamt content type för alla nyheter gör att ni kan lista, filtrera och återanvända dem (startsida, presssida, arkiv).</t>
  </si>
  <si>
    <t>Person
ID: person</t>
  </si>
  <si>
    <t>name
roletitle
organisation
bio
portraitImage
order
tags</t>
  </si>
  <si>
    <t>Grundare, styrelse, rådgivare m.fl. som visas under “Om oss” och ev. på andra sidor.</t>
  </si>
  <si>
    <t>Name, Role/title, Organisation, Bio (kort), Portrait image, Order (sorteringssiffra), ev. Tags (t.ex. “Styrelse”, “Grundare”).</t>
  </si>
  <si>
    <t>Ni har redan 4 personer listade. Med en Person-typ blir det enkelt att lägga till fler, återanvända samma personer i olika sektioner och t.ex. ha en filtrerbar lista längre fram.</t>
  </si>
  <si>
    <t>Partner
ID: partner</t>
  </si>
  <si>
    <t>name
logo
type
shortDescription
location
adress
url
referenceInitiatives
order
showOnHomepage</t>
  </si>
  <si>
    <t>Teknikpartner (Sana nu), finansiella partners, framtida organisationspartners.</t>
  </si>
  <si>
    <t>Name, Logo, Partner type (t.ex. Tech, Finans, Ideell), Short description, Website URL, Related initiatives (refs till Initiative/Program), Order, ev. Show on homepage (bool).</t>
  </si>
  <si>
    <t>Ni börjar med Sana men kommer sannolikt få fler partners. En Partner-typ gör det lätt att visa partners per initiativ, på en samlad partnersida och i logorader.</t>
  </si>
  <si>
    <t>Initiative / Program 
ID: initiativeprogram</t>
  </si>
  <si>
    <t>title
slug
intro
body
targetGroups
ctaLable
ctaUrl
status
heroSection
partners</t>
  </si>
  <si>
    <t>Varje större satsning/ben, t.ex. “Sana Agents-programmet” och framtida program. Har ofta egen landningssida.</t>
  </si>
  <si>
    <t>Title, Slug, Intro, Body (rich text/sektioner eller refs till Content Sections), Target groups (lista), Apply/CTA link, Partners (refs till Partner), Status (Planerad/Pågående/Avslutad), ev. Hero (ref).</t>
  </si>
  <si>
    <t>Detta är nyckeln för att skala “fler ben”. Varje initiativ får egen entry (och ev. egen Page) där ni kopplar samman text, CTA och partners. När ett nytt ben lanseras skapar ni bara en ny Initiative + Page.</t>
  </si>
  <si>
    <t>Donor 
ID: donor</t>
  </si>
  <si>
    <t>name
type
roledescription
website
orde</t>
  </si>
  <si>
    <t>Enskilda donatorer ni vill lista under Finansiering eller på en supportersida.</t>
  </si>
  <si>
    <t>Name, Type (Individ/Organisation), Description/roll, Website (valfritt), Order.</t>
  </si>
  <si>
    <t>Om ni tänker växa på donorsidan och visa en längre lista blir det renare än att ha alla namn i ett textstycke. Om det bara är några få kan ni hoppa över egen typ och använda Content Section.</t>
  </si>
  <si>
    <t>Global Settings
ID: globalSetting</t>
  </si>
  <si>
    <t>siteName
mainNavigation
footerText
contactEmail
socialLinks</t>
  </si>
  <si>
    <t>Globala saker: navigationsstruktur, footer-text, kontaktinfo. En enda entry.</t>
  </si>
  <si>
    <t>Site name, Main navigation (lista av Navigation Items eller Page-referenser), Footer text, Contact email, Social links.</t>
  </si>
  <si>
    <t>Gör att ni kan ändra meny, kontaktuppgifter och footer utan kod. Bra när nya sidor/ben tillkommer ofta.</t>
  </si>
  <si>
    <t>Navigation Item
ID: navigationItem</t>
  </si>
  <si>
    <t>label
linkedPage
externalUrl
order</t>
  </si>
  <si>
    <t>En rad i huvudmenyn.</t>
  </si>
  <si>
    <t>Label, Linked page (ref till Page) eller External URL, Order.</t>
  </si>
  <si>
    <t>Skiljer presentation (menynamn) från själva Page-entryt. Underlättar om ni vill länka både interna Pages och externa sidor (t.ex. registreringslänk hos Sana).</t>
  </si>
  <si>
    <t>Biography Section ID: biographySection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</si>
</sst>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rgb="FF000000"/>
      <name val="Arial"/>
    </font>
    <font>
      <b/>
      <sz val="11.0"/>
      <color rgb="FF38761D"/>
      <name val="Arial"/>
    </font>
    <font>
      <sz val="11.0"/>
      <color rgb="FF000000"/>
      <name val="Arial"/>
    </font>
    <font>
      <sz val="11.0"/>
      <color rgb="FF188038"/>
      <name val="'Roboto Mono'"/>
    </font>
    <font>
      <sz val="11.0"/>
      <color theme="1"/>
      <name val="Arial"/>
    </font>
    <font>
      <sz val="11.0"/>
      <color theme="1"/>
      <name val="'Segoe U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horizontal="left" readingOrder="0" shrinkToFit="0" wrapText="1"/>
    </xf>
    <xf borderId="0" fillId="0" fontId="3" numFmtId="0" xfId="0" applyAlignment="1" applyFont="1">
      <alignment horizontal="left" readingOrder="0" shrinkToFit="0" wrapText="1"/>
    </xf>
    <xf borderId="0" fillId="0" fontId="4" numFmtId="0" xfId="0" applyAlignment="1" applyFont="1">
      <alignment horizontal="left" readingOrder="0" shrinkToFit="0" wrapText="1"/>
    </xf>
    <xf borderId="0" fillId="0" fontId="5" numFmtId="0" xfId="0" applyAlignment="1" applyFont="1">
      <alignmen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2" t="s">
        <v>6</v>
      </c>
      <c r="B2" s="3" t="str">
        <f>IFERROR(__xludf.DUMMYFUNCTION("TRIM(INDEX(SPLIT(A2,"":""),2))"),"page")</f>
        <v>page</v>
      </c>
      <c r="C2" s="3" t="s">
        <v>7</v>
      </c>
      <c r="D2" s="3" t="s">
        <v>8</v>
      </c>
      <c r="E2" s="4" t="s">
        <v>9</v>
      </c>
      <c r="F2" s="3" t="s">
        <v>10</v>
      </c>
    </row>
    <row r="3">
      <c r="A3" s="2" t="s">
        <v>11</v>
      </c>
      <c r="B3" s="3" t="str">
        <f>IFERROR(__xludf.DUMMYFUNCTION("TRIM(INDEX(SPLIT(A3,"":""),2))"),"heroSection")</f>
        <v>heroSection</v>
      </c>
      <c r="C3" s="5" t="s">
        <v>12</v>
      </c>
      <c r="D3" s="3" t="s">
        <v>13</v>
      </c>
      <c r="E3" s="4" t="s">
        <v>14</v>
      </c>
      <c r="F3" s="3" t="s">
        <v>15</v>
      </c>
    </row>
    <row r="4">
      <c r="A4" s="2" t="s">
        <v>16</v>
      </c>
      <c r="B4" s="3" t="str">
        <f>IFERROR(__xludf.DUMMYFUNCTION("TRIM(INDEX(SPLIT(A4,"":""),2))"),"contentSection")</f>
        <v>contentSection</v>
      </c>
      <c r="C4" s="5" t="s">
        <v>17</v>
      </c>
      <c r="D4" s="3" t="s">
        <v>18</v>
      </c>
      <c r="E4" s="4" t="s">
        <v>19</v>
      </c>
      <c r="F4" s="3" t="s">
        <v>20</v>
      </c>
    </row>
    <row r="5">
      <c r="A5" s="2" t="s">
        <v>21</v>
      </c>
      <c r="B5" s="3" t="str">
        <f>IFERROR(__xludf.DUMMYFUNCTION("TRIM(INDEX(SPLIT(A5,"":""),2))"),"faqText")</f>
        <v>faqText</v>
      </c>
      <c r="C5" s="5" t="s">
        <v>22</v>
      </c>
      <c r="D5" s="3" t="s">
        <v>23</v>
      </c>
      <c r="E5" s="4" t="s">
        <v>24</v>
      </c>
      <c r="F5" s="3" t="s">
        <v>25</v>
      </c>
    </row>
    <row r="6">
      <c r="A6" s="2" t="s">
        <v>26</v>
      </c>
      <c r="B6" s="3" t="str">
        <f>IFERROR(__xludf.DUMMYFUNCTION("TRIM(INDEX(SPLIT(A6,"":""),2))"),"faqSection")</f>
        <v>faqSection</v>
      </c>
      <c r="C6" s="5" t="s">
        <v>27</v>
      </c>
      <c r="D6" s="3" t="s">
        <v>28</v>
      </c>
      <c r="E6" s="4" t="s">
        <v>29</v>
      </c>
      <c r="F6" s="3" t="s">
        <v>30</v>
      </c>
    </row>
    <row r="7">
      <c r="A7" s="2" t="s">
        <v>31</v>
      </c>
      <c r="B7" s="3" t="str">
        <f>IFERROR(__xludf.DUMMYFUNCTION("TRIM(INDEX(SPLIT(A7,"":""),2))"),"newsPressRelease")</f>
        <v>newsPressRelease</v>
      </c>
      <c r="C7" s="5" t="s">
        <v>32</v>
      </c>
      <c r="D7" s="3" t="s">
        <v>33</v>
      </c>
      <c r="E7" s="4" t="s">
        <v>34</v>
      </c>
      <c r="F7" s="3" t="s">
        <v>35</v>
      </c>
    </row>
    <row r="8">
      <c r="A8" s="2" t="s">
        <v>36</v>
      </c>
      <c r="B8" s="3" t="str">
        <f>IFERROR(__xludf.DUMMYFUNCTION("TRIM(INDEX(SPLIT(A8,"":""),2))"),"person")</f>
        <v>person</v>
      </c>
      <c r="C8" s="5" t="s">
        <v>37</v>
      </c>
      <c r="D8" s="3" t="s">
        <v>38</v>
      </c>
      <c r="E8" s="4" t="s">
        <v>39</v>
      </c>
      <c r="F8" s="3" t="s">
        <v>40</v>
      </c>
    </row>
    <row r="9">
      <c r="A9" s="2" t="s">
        <v>41</v>
      </c>
      <c r="B9" s="3" t="str">
        <f>IFERROR(__xludf.DUMMYFUNCTION("TRIM(INDEX(SPLIT(A9,"":""),2))"),"partner")</f>
        <v>partner</v>
      </c>
      <c r="C9" s="5" t="s">
        <v>42</v>
      </c>
      <c r="D9" s="3" t="s">
        <v>43</v>
      </c>
      <c r="E9" s="4" t="s">
        <v>44</v>
      </c>
      <c r="F9" s="3" t="s">
        <v>45</v>
      </c>
    </row>
    <row r="10">
      <c r="A10" s="2" t="s">
        <v>46</v>
      </c>
      <c r="B10" s="3" t="str">
        <f>IFERROR(__xludf.DUMMYFUNCTION("TRIM(INDEX(SPLIT(A10,"":""),2))"),"initiativeprogram")</f>
        <v>initiativeprogram</v>
      </c>
      <c r="C10" s="5" t="s">
        <v>47</v>
      </c>
      <c r="D10" s="3" t="s">
        <v>48</v>
      </c>
      <c r="E10" s="4" t="s">
        <v>49</v>
      </c>
      <c r="F10" s="3" t="s">
        <v>50</v>
      </c>
    </row>
    <row r="11">
      <c r="A11" s="2" t="s">
        <v>51</v>
      </c>
      <c r="B11" s="3" t="str">
        <f>IFERROR(__xludf.DUMMYFUNCTION("TRIM(INDEX(SPLIT(A11,"":""),2))"),"donor")</f>
        <v>donor</v>
      </c>
      <c r="C11" s="5" t="s">
        <v>52</v>
      </c>
      <c r="D11" s="3" t="s">
        <v>53</v>
      </c>
      <c r="E11" s="4" t="s">
        <v>54</v>
      </c>
      <c r="F11" s="3" t="s">
        <v>55</v>
      </c>
    </row>
    <row r="12">
      <c r="A12" s="2" t="s">
        <v>56</v>
      </c>
      <c r="B12" s="3" t="str">
        <f>IFERROR(__xludf.DUMMYFUNCTION("TRIM(INDEX(SPLIT(A12,"":""),2))"),"globalSetting")</f>
        <v>globalSetting</v>
      </c>
      <c r="C12" s="5" t="s">
        <v>57</v>
      </c>
      <c r="D12" s="3" t="s">
        <v>58</v>
      </c>
      <c r="E12" s="4" t="s">
        <v>59</v>
      </c>
      <c r="F12" s="3" t="s">
        <v>60</v>
      </c>
    </row>
    <row r="13">
      <c r="A13" s="2" t="s">
        <v>61</v>
      </c>
      <c r="B13" s="3" t="str">
        <f>IFERROR(__xludf.DUMMYFUNCTION("TRIM(INDEX(SPLIT(A13,"":""),2))"),"navigationItem")</f>
        <v>navigationItem</v>
      </c>
      <c r="C13" s="5" t="s">
        <v>62</v>
      </c>
      <c r="D13" s="3" t="s">
        <v>63</v>
      </c>
      <c r="E13" s="4" t="s">
        <v>64</v>
      </c>
      <c r="F13" s="3" t="s">
        <v>65</v>
      </c>
    </row>
    <row r="14">
      <c r="A14" s="2" t="s">
        <v>66</v>
      </c>
      <c r="C14" s="5" t="s">
        <v>27</v>
      </c>
    </row>
    <row r="15">
      <c r="C15" s="6"/>
    </row>
  </sheetData>
  <drawing r:id="rId1"/>
</worksheet>
</file>